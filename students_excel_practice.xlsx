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7b914af185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udents" sheetId="1" r:id="Rbb8fb23397bd4476"/>
    <x:sheet xmlns:r="http://schemas.openxmlformats.org/officeDocument/2006/relationships" name="Course Summary" sheetId="2" r:id="R5fe2968b0ef5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₹#,##0"/>
    <x:numFmt numFmtId="201" formatCode="0&quot;%&quot;"/>
    <x:numFmt numFmtId="202" formatCode="0.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e50f94a6e040ed" /><Relationship Type="http://schemas.openxmlformats.org/officeDocument/2006/relationships/theme" Target="/xl/theme/theme1.xml" Id="R71af66025b2e496b" /><Relationship Type="http://schemas.openxmlformats.org/officeDocument/2006/relationships/sharedStrings" Target="/xl/sharedStrings.xml" Id="R73ba384a95424ca1" /><Relationship Type="http://schemas.openxmlformats.org/officeDocument/2006/relationships/worksheet" Target="/xl/worksheets/sheet1.xml" Id="Rbb8fb23397bd4476" /><Relationship Type="http://schemas.openxmlformats.org/officeDocument/2006/relationships/worksheet" Target="/xl/worksheets/sheet2.xml" Id="R5fe2968b0ef54422" /></Relationships>
</file>

<file path=xl/tables/table1.xml><?xml version="1.0" encoding="utf-8"?>
<x:table xmlns:x="http://schemas.openxmlformats.org/spreadsheetml/2006/main" id="1" name="StudentsTable" displayName="StudentsTable" ref="A1:I21" headerRowCount="1" totalsRowCount="0" totalsRowShown="0">
  <x:tableColumns count="9">
    <x:tableColumn id="1" name="Student ID"/>
    <x:tableColumn id="2" name="Name"/>
    <x:tableColumn id="3" name="Course"/>
    <x:tableColumn id="4" name="City"/>
    <x:tableColumn id="5" name="Fees"/>
    <x:tableColumn id="6" name="Marks"/>
    <x:tableColumn id="7" name="Attendance %"/>
    <x:tableColumn id="8" name="Status"/>
    <x:tableColumn id="9" name="Gr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urseSummaryTable" displayName="CourseSummaryTable" ref="A1:E5" headerRowCount="1" totalsRowCount="0" totalsRowShown="0">
  <x:tableColumns count="5">
    <x:tableColumn id="1" name="Course"/>
    <x:tableColumn id="2" name="No. of Students"/>
    <x:tableColumn id="3" name="Average Marks"/>
    <x:tableColumn id="4" name="Average Attendance"/>
    <x:tableColumn id="5" name="Total Fe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f76989fa6649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fe06acb277749e9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20" hidden="0" customWidth="1"/>
    <x:col min="4" max="4" width="16" hidden="0" customWidth="1"/>
    <x:col min="5" max="5" width="12" hidden="0" customWidth="1"/>
    <x:col min="6" max="6" width="10" hidden="0" customWidth="1"/>
    <x:col min="7" max="7" width="16" hidden="0" customWidth="1"/>
    <x:col min="8" max="8" width="12" hidden="0" customWidth="1"/>
    <x:col min="9" max="9" width="10" hidden="0" customWidth="1"/>
  </x:cols>
  <x:sheetData>
    <x:row r="1">
      <x:c r="A1" s="14" t="str">
        <x:v>Student ID</x:v>
      </x:c>
      <x:c r="B1" s="14" t="str">
        <x:v>Name</x:v>
      </x:c>
      <x:c r="C1" s="14" t="str">
        <x:v>Course</x:v>
      </x:c>
      <x:c r="D1" s="14" t="str">
        <x:v>City</x:v>
      </x:c>
      <x:c r="E1" s="14" t="str">
        <x:v>Fees</x:v>
      </x:c>
      <x:c r="F1" s="14" t="str">
        <x:v>Marks</x:v>
      </x:c>
      <x:c r="G1" s="14" t="str">
        <x:v>Attendance %</x:v>
      </x:c>
      <x:c r="H1" s="14" t="str">
        <x:v>Status</x:v>
      </x:c>
      <x:c r="I1" s="14" t="str">
        <x:v>Grade</x:v>
      </x:c>
    </x:row>
    <x:row r="2">
      <x:c r="A2" s="15" t="n">
        <x:v>1001</x:v>
      </x:c>
      <x:c r="B2" s="15" t="str">
        <x:v>Aarav Sharma</x:v>
      </x:c>
      <x:c r="C2" s="15" t="str">
        <x:v>Python</x:v>
      </x:c>
      <x:c r="D2" s="15" t="str">
        <x:v>Pune</x:v>
      </x:c>
      <x:c r="E2" s="16" t="n">
        <x:v>15000</x:v>
      </x:c>
      <x:c r="F2" s="15" t="n">
        <x:v>88</x:v>
      </x:c>
      <x:c r="G2" s="17" t="n">
        <x:v>92</x:v>
      </x:c>
      <x:c r="H2" s="15" t="str">
        <x:v>Active</x:v>
      </x:c>
      <x:c r="I2" s="15" t="str">
        <x:f>IF(F2&gt;=90,"A+",IF(F2&gt;=80,"A",IF(F2&gt;=70,"B",IF(F2&gt;=60,"C","D"))))</x:f>
        <x:v>A</x:v>
      </x:c>
    </x:row>
    <x:row r="3">
      <x:c r="A3" s="15" t="n">
        <x:v>1002</x:v>
      </x:c>
      <x:c r="B3" s="15" t="str">
        <x:v>Riya Mehta</x:v>
      </x:c>
      <x:c r="C3" s="15" t="str">
        <x:v>Data Science</x:v>
      </x:c>
      <x:c r="D3" s="15" t="str">
        <x:v>Mumbai</x:v>
      </x:c>
      <x:c r="E3" s="16" t="n">
        <x:v>18000</x:v>
      </x:c>
      <x:c r="F3" s="15" t="n">
        <x:v>91</x:v>
      </x:c>
      <x:c r="G3" s="17" t="n">
        <x:v>95</x:v>
      </x:c>
      <x:c r="H3" s="15" t="str">
        <x:v>Active</x:v>
      </x:c>
      <x:c r="I3" s="15" t="str">
        <x:f>IF(F3&gt;=90,"A+",IF(F3&gt;=80,"A",IF(F3&gt;=70,"B",IF(F3&gt;=60,"C","D"))))</x:f>
        <x:v>A+</x:v>
      </x:c>
    </x:row>
    <x:row r="4">
      <x:c r="A4" s="15" t="n">
        <x:v>1003</x:v>
      </x:c>
      <x:c r="B4" s="15" t="str">
        <x:v>Kabir Singh</x:v>
      </x:c>
      <x:c r="C4" s="15" t="str">
        <x:v>Python</x:v>
      </x:c>
      <x:c r="D4" s="15" t="str">
        <x:v>Delhi</x:v>
      </x:c>
      <x:c r="E4" s="16" t="n">
        <x:v>15000</x:v>
      </x:c>
      <x:c r="F4" s="15" t="n">
        <x:v>76</x:v>
      </x:c>
      <x:c r="G4" s="17" t="n">
        <x:v>84</x:v>
      </x:c>
      <x:c r="H4" s="15" t="str">
        <x:v>Active</x:v>
      </x:c>
      <x:c r="I4" s="15" t="str">
        <x:f>IF(F4&gt;=90,"A+",IF(F4&gt;=80,"A",IF(F4&gt;=70,"B",IF(F4&gt;=60,"C","D"))))</x:f>
        <x:v>B</x:v>
      </x:c>
    </x:row>
    <x:row r="5">
      <x:c r="A5" s="15" t="n">
        <x:v>1004</x:v>
      </x:c>
      <x:c r="B5" s="15" t="str">
        <x:v>Sneha Patil</x:v>
      </x:c>
      <x:c r="C5" s="15" t="str">
        <x:v>AI/ML</x:v>
      </x:c>
      <x:c r="D5" s="15" t="str">
        <x:v>Pune</x:v>
      </x:c>
      <x:c r="E5" s="16" t="n">
        <x:v>22000</x:v>
      </x:c>
      <x:c r="F5" s="15" t="n">
        <x:v>94</x:v>
      </x:c>
      <x:c r="G5" s="17" t="n">
        <x:v>97</x:v>
      </x:c>
      <x:c r="H5" s="15" t="str">
        <x:v>Active</x:v>
      </x:c>
      <x:c r="I5" s="15" t="str">
        <x:f>IF(F5&gt;=90,"A+",IF(F5&gt;=80,"A",IF(F5&gt;=70,"B",IF(F5&gt;=60,"C","D"))))</x:f>
        <x:v>A+</x:v>
      </x:c>
    </x:row>
    <x:row r="6">
      <x:c r="A6" s="15" t="n">
        <x:v>1005</x:v>
      </x:c>
      <x:c r="B6" s="15" t="str">
        <x:v>Arjun Nair</x:v>
      </x:c>
      <x:c r="C6" s="15" t="str">
        <x:v>Web Development</x:v>
      </x:c>
      <x:c r="D6" s="15" t="str">
        <x:v>Bengaluru</x:v>
      </x:c>
      <x:c r="E6" s="16" t="n">
        <x:v>16000</x:v>
      </x:c>
      <x:c r="F6" s="15" t="n">
        <x:v>69</x:v>
      </x:c>
      <x:c r="G6" s="17" t="n">
        <x:v>78</x:v>
      </x:c>
      <x:c r="H6" s="15" t="str">
        <x:v>Active</x:v>
      </x:c>
      <x:c r="I6" s="15" t="str">
        <x:f>IF(F6&gt;=90,"A+",IF(F6&gt;=80,"A",IF(F6&gt;=70,"B",IF(F6&gt;=60,"C","D"))))</x:f>
        <x:v>C</x:v>
      </x:c>
    </x:row>
    <x:row r="7">
      <x:c r="A7" s="15" t="n">
        <x:v>1006</x:v>
      </x:c>
      <x:c r="B7" s="15" t="str">
        <x:v>Ishita Verma</x:v>
      </x:c>
      <x:c r="C7" s="15" t="str">
        <x:v>Data Science</x:v>
      </x:c>
      <x:c r="D7" s="15" t="str">
        <x:v>Delhi</x:v>
      </x:c>
      <x:c r="E7" s="16" t="n">
        <x:v>18000</x:v>
      </x:c>
      <x:c r="F7" s="15" t="n">
        <x:v>85</x:v>
      </x:c>
      <x:c r="G7" s="17" t="n">
        <x:v>89</x:v>
      </x:c>
      <x:c r="H7" s="15" t="str">
        <x:v>Active</x:v>
      </x:c>
      <x:c r="I7" s="15" t="str">
        <x:f>IF(F7&gt;=90,"A+",IF(F7&gt;=80,"A",IF(F7&gt;=70,"B",IF(F7&gt;=60,"C","D"))))</x:f>
        <x:v>A</x:v>
      </x:c>
    </x:row>
    <x:row r="8">
      <x:c r="A8" s="15" t="n">
        <x:v>1007</x:v>
      </x:c>
      <x:c r="B8" s="15" t="str">
        <x:v>Vihaan Joshi</x:v>
      </x:c>
      <x:c r="C8" s="15" t="str">
        <x:v>Python</x:v>
      </x:c>
      <x:c r="D8" s="15" t="str">
        <x:v>Nagpur</x:v>
      </x:c>
      <x:c r="E8" s="16" t="n">
        <x:v>15000</x:v>
      </x:c>
      <x:c r="F8" s="15" t="n">
        <x:v>72</x:v>
      </x:c>
      <x:c r="G8" s="17" t="n">
        <x:v>81</x:v>
      </x:c>
      <x:c r="H8" s="15" t="str">
        <x:v>Active</x:v>
      </x:c>
      <x:c r="I8" s="15" t="str">
        <x:f>IF(F8&gt;=90,"A+",IF(F8&gt;=80,"A",IF(F8&gt;=70,"B",IF(F8&gt;=60,"C","D"))))</x:f>
        <x:v>B</x:v>
      </x:c>
    </x:row>
    <x:row r="9">
      <x:c r="A9" s="15" t="n">
        <x:v>1008</x:v>
      </x:c>
      <x:c r="B9" s="15" t="str">
        <x:v>Ananya Rao</x:v>
      </x:c>
      <x:c r="C9" s="15" t="str">
        <x:v>AI/ML</x:v>
      </x:c>
      <x:c r="D9" s="15" t="str">
        <x:v>Hyderabad</x:v>
      </x:c>
      <x:c r="E9" s="16" t="n">
        <x:v>22000</x:v>
      </x:c>
      <x:c r="F9" s="15" t="n">
        <x:v>89</x:v>
      </x:c>
      <x:c r="G9" s="17" t="n">
        <x:v>94</x:v>
      </x:c>
      <x:c r="H9" s="15" t="str">
        <x:v>Active</x:v>
      </x:c>
      <x:c r="I9" s="15" t="str">
        <x:f>IF(F9&gt;=90,"A+",IF(F9&gt;=80,"A",IF(F9&gt;=70,"B",IF(F9&gt;=60,"C","D"))))</x:f>
        <x:v>A</x:v>
      </x:c>
    </x:row>
    <x:row r="10">
      <x:c r="A10" s="15" t="n">
        <x:v>1009</x:v>
      </x:c>
      <x:c r="B10" s="15" t="str">
        <x:v>Aditya Kulkarni</x:v>
      </x:c>
      <x:c r="C10" s="15" t="str">
        <x:v>Web Development</x:v>
      </x:c>
      <x:c r="D10" s="15" t="str">
        <x:v>Pune</x:v>
      </x:c>
      <x:c r="E10" s="16" t="n">
        <x:v>16000</x:v>
      </x:c>
      <x:c r="F10" s="15" t="n">
        <x:v>81</x:v>
      </x:c>
      <x:c r="G10" s="17" t="n">
        <x:v>87</x:v>
      </x:c>
      <x:c r="H10" s="15" t="str">
        <x:v>Active</x:v>
      </x:c>
      <x:c r="I10" s="15" t="str">
        <x:f>IF(F10&gt;=90,"A+",IF(F10&gt;=80,"A",IF(F10&gt;=70,"B",IF(F10&gt;=60,"C","D"))))</x:f>
        <x:v>A</x:v>
      </x:c>
    </x:row>
    <x:row r="11">
      <x:c r="A11" s="15" t="n">
        <x:v>1010</x:v>
      </x:c>
      <x:c r="B11" s="15" t="str">
        <x:v>Meera Iyer</x:v>
      </x:c>
      <x:c r="C11" s="15" t="str">
        <x:v>Python</x:v>
      </x:c>
      <x:c r="D11" s="15" t="str">
        <x:v>Chennai</x:v>
      </x:c>
      <x:c r="E11" s="16" t="n">
        <x:v>15000</x:v>
      </x:c>
      <x:c r="F11" s="15" t="n">
        <x:v>96</x:v>
      </x:c>
      <x:c r="G11" s="17" t="n">
        <x:v>98</x:v>
      </x:c>
      <x:c r="H11" s="15" t="str">
        <x:v>Active</x:v>
      </x:c>
      <x:c r="I11" s="15" t="str">
        <x:f>IF(F11&gt;=90,"A+",IF(F11&gt;=80,"A",IF(F11&gt;=70,"B",IF(F11&gt;=60,"C","D"))))</x:f>
        <x:v>A+</x:v>
      </x:c>
    </x:row>
    <x:row r="12">
      <x:c r="A12" s="15" t="n">
        <x:v>1011</x:v>
      </x:c>
      <x:c r="B12" s="15" t="str">
        <x:v>Rahul Deshmukh</x:v>
      </x:c>
      <x:c r="C12" s="15" t="str">
        <x:v>Data Science</x:v>
      </x:c>
      <x:c r="D12" s="15" t="str">
        <x:v>Nashik</x:v>
      </x:c>
      <x:c r="E12" s="16" t="n">
        <x:v>18000</x:v>
      </x:c>
      <x:c r="F12" s="15" t="n">
        <x:v>64</x:v>
      </x:c>
      <x:c r="G12" s="17" t="n">
        <x:v>74</x:v>
      </x:c>
      <x:c r="H12" s="15" t="str">
        <x:v>Active</x:v>
      </x:c>
      <x:c r="I12" s="15" t="str">
        <x:f>IF(F12&gt;=90,"A+",IF(F12&gt;=80,"A",IF(F12&gt;=70,"B",IF(F12&gt;=60,"C","D"))))</x:f>
        <x:v>C</x:v>
      </x:c>
    </x:row>
    <x:row r="13">
      <x:c r="A13" s="15" t="n">
        <x:v>1012</x:v>
      </x:c>
      <x:c r="B13" s="15" t="str">
        <x:v>Sara Khan</x:v>
      </x:c>
      <x:c r="C13" s="15" t="str">
        <x:v>AI/ML</x:v>
      </x:c>
      <x:c r="D13" s="15" t="str">
        <x:v>Mumbai</x:v>
      </x:c>
      <x:c r="E13" s="16" t="n">
        <x:v>22000</x:v>
      </x:c>
      <x:c r="F13" s="15" t="n">
        <x:v>87</x:v>
      </x:c>
      <x:c r="G13" s="17" t="n">
        <x:v>91</x:v>
      </x:c>
      <x:c r="H13" s="15" t="str">
        <x:v>Active</x:v>
      </x:c>
      <x:c r="I13" s="15" t="str">
        <x:f>IF(F13&gt;=90,"A+",IF(F13&gt;=80,"A",IF(F13&gt;=70,"B",IF(F13&gt;=60,"C","D"))))</x:f>
        <x:v>A</x:v>
      </x:c>
    </x:row>
    <x:row r="14">
      <x:c r="A14" s="15" t="n">
        <x:v>1013</x:v>
      </x:c>
      <x:c r="B14" s="15" t="str">
        <x:v>Dev Malhotra</x:v>
      </x:c>
      <x:c r="C14" s="15" t="str">
        <x:v>Python</x:v>
      </x:c>
      <x:c r="D14" s="15" t="str">
        <x:v>Delhi</x:v>
      </x:c>
      <x:c r="E14" s="16" t="n">
        <x:v>15000</x:v>
      </x:c>
      <x:c r="F14" s="15" t="n">
        <x:v>58</x:v>
      </x:c>
      <x:c r="G14" s="17" t="n">
        <x:v>68</x:v>
      </x:c>
      <x:c r="H14" s="15" t="str">
        <x:v>Inactive</x:v>
      </x:c>
      <x:c r="I14" s="15" t="str">
        <x:f>IF(F14&gt;=90,"A+",IF(F14&gt;=80,"A",IF(F14&gt;=70,"B",IF(F14&gt;=60,"C","D"))))</x:f>
        <x:v>D</x:v>
      </x:c>
    </x:row>
    <x:row r="15">
      <x:c r="A15" s="15" t="n">
        <x:v>1014</x:v>
      </x:c>
      <x:c r="B15" s="15" t="str">
        <x:v>Nisha Gupta</x:v>
      </x:c>
      <x:c r="C15" s="15" t="str">
        <x:v>Web Development</x:v>
      </x:c>
      <x:c r="D15" s="15" t="str">
        <x:v>Jaipur</x:v>
      </x:c>
      <x:c r="E15" s="16" t="n">
        <x:v>16000</x:v>
      </x:c>
      <x:c r="F15" s="15" t="n">
        <x:v>79</x:v>
      </x:c>
      <x:c r="G15" s="17" t="n">
        <x:v>83</x:v>
      </x:c>
      <x:c r="H15" s="15" t="str">
        <x:v>Active</x:v>
      </x:c>
      <x:c r="I15" s="15" t="str">
        <x:f>IF(F15&gt;=90,"A+",IF(F15&gt;=80,"A",IF(F15&gt;=70,"B",IF(F15&gt;=60,"C","D"))))</x:f>
        <x:v>B</x:v>
      </x:c>
    </x:row>
    <x:row r="16">
      <x:c r="A16" s="15" t="n">
        <x:v>1015</x:v>
      </x:c>
      <x:c r="B16" s="15" t="str">
        <x:v>Omkar Jadhav</x:v>
      </x:c>
      <x:c r="C16" s="15" t="str">
        <x:v>Data Science</x:v>
      </x:c>
      <x:c r="D16" s="15" t="str">
        <x:v>Pune</x:v>
      </x:c>
      <x:c r="E16" s="16" t="n">
        <x:v>18000</x:v>
      </x:c>
      <x:c r="F16" s="15" t="n">
        <x:v>92</x:v>
      </x:c>
      <x:c r="G16" s="17" t="n">
        <x:v>96</x:v>
      </x:c>
      <x:c r="H16" s="15" t="str">
        <x:v>Active</x:v>
      </x:c>
      <x:c r="I16" s="15" t="str">
        <x:f>IF(F16&gt;=90,"A+",IF(F16&gt;=80,"A",IF(F16&gt;=70,"B",IF(F16&gt;=60,"C","D"))))</x:f>
        <x:v>A+</x:v>
      </x:c>
    </x:row>
    <x:row r="17">
      <x:c r="A17" s="15" t="n">
        <x:v>1016</x:v>
      </x:c>
      <x:c r="B17" s="15" t="str">
        <x:v>Tanya Bose</x:v>
      </x:c>
      <x:c r="C17" s="15" t="str">
        <x:v>AI/ML</x:v>
      </x:c>
      <x:c r="D17" s="15" t="str">
        <x:v>Kolkata</x:v>
      </x:c>
      <x:c r="E17" s="16" t="n">
        <x:v>22000</x:v>
      </x:c>
      <x:c r="F17" s="15" t="n">
        <x:v>73</x:v>
      </x:c>
      <x:c r="G17" s="17" t="n">
        <x:v>80</x:v>
      </x:c>
      <x:c r="H17" s="15" t="str">
        <x:v>Active</x:v>
      </x:c>
      <x:c r="I17" s="15" t="str">
        <x:f>IF(F17&gt;=90,"A+",IF(F17&gt;=80,"A",IF(F17&gt;=70,"B",IF(F17&gt;=60,"C","D"))))</x:f>
        <x:v>B</x:v>
      </x:c>
    </x:row>
    <x:row r="18">
      <x:c r="A18" s="15" t="n">
        <x:v>1017</x:v>
      </x:c>
      <x:c r="B18" s="15" t="str">
        <x:v>Yash Bhat</x:v>
      </x:c>
      <x:c r="C18" s="15" t="str">
        <x:v>Python</x:v>
      </x:c>
      <x:c r="D18" s="15" t="str">
        <x:v>Bengaluru</x:v>
      </x:c>
      <x:c r="E18" s="16" t="n">
        <x:v>15000</x:v>
      </x:c>
      <x:c r="F18" s="15" t="n">
        <x:v>84</x:v>
      </x:c>
      <x:c r="G18" s="17" t="n">
        <x:v>90</x:v>
      </x:c>
      <x:c r="H18" s="15" t="str">
        <x:v>Active</x:v>
      </x:c>
      <x:c r="I18" s="15" t="str">
        <x:f>IF(F18&gt;=90,"A+",IF(F18&gt;=80,"A",IF(F18&gt;=70,"B",IF(F18&gt;=60,"C","D"))))</x:f>
        <x:v>A</x:v>
      </x:c>
    </x:row>
    <x:row r="19">
      <x:c r="A19" s="15" t="n">
        <x:v>1018</x:v>
      </x:c>
      <x:c r="B19" s="15" t="str">
        <x:v>Pooja Mishra</x:v>
      </x:c>
      <x:c r="C19" s="15" t="str">
        <x:v>Web Development</x:v>
      </x:c>
      <x:c r="D19" s="15" t="str">
        <x:v>Lucknow</x:v>
      </x:c>
      <x:c r="E19" s="16" t="n">
        <x:v>16000</x:v>
      </x:c>
      <x:c r="F19" s="15" t="n">
        <x:v>67</x:v>
      </x:c>
      <x:c r="G19" s="17" t="n">
        <x:v>75</x:v>
      </x:c>
      <x:c r="H19" s="15" t="str">
        <x:v>Inactive</x:v>
      </x:c>
      <x:c r="I19" s="15" t="str">
        <x:f>IF(F19&gt;=90,"A+",IF(F19&gt;=80,"A",IF(F19&gt;=70,"B",IF(F19&gt;=60,"C","D"))))</x:f>
        <x:v>C</x:v>
      </x:c>
    </x:row>
    <x:row r="20">
      <x:c r="A20" s="15" t="n">
        <x:v>1019</x:v>
      </x:c>
      <x:c r="B20" s="15" t="str">
        <x:v>Karan Shah</x:v>
      </x:c>
      <x:c r="C20" s="15" t="str">
        <x:v>Data Science</x:v>
      </x:c>
      <x:c r="D20" s="15" t="str">
        <x:v>Ahmedabad</x:v>
      </x:c>
      <x:c r="E20" s="16" t="n">
        <x:v>18000</x:v>
      </x:c>
      <x:c r="F20" s="15" t="n">
        <x:v>90</x:v>
      </x:c>
      <x:c r="G20" s="17" t="n">
        <x:v>93</x:v>
      </x:c>
      <x:c r="H20" s="15" t="str">
        <x:v>Active</x:v>
      </x:c>
      <x:c r="I20" s="15" t="str">
        <x:f>IF(F20&gt;=90,"A+",IF(F20&gt;=80,"A",IF(F20&gt;=70,"B",IF(F20&gt;=60,"C","D"))))</x:f>
        <x:v>A+</x:v>
      </x:c>
    </x:row>
    <x:row r="21">
      <x:c r="A21" s="15" t="n">
        <x:v>1020</x:v>
      </x:c>
      <x:c r="B21" s="15" t="str">
        <x:v>Neha Kapoor</x:v>
      </x:c>
      <x:c r="C21" s="15" t="str">
        <x:v>AI/ML</x:v>
      </x:c>
      <x:c r="D21" s="15" t="str">
        <x:v>Delhi</x:v>
      </x:c>
      <x:c r="E21" s="16" t="n">
        <x:v>22000</x:v>
      </x:c>
      <x:c r="F21" s="15" t="n">
        <x:v>82</x:v>
      </x:c>
      <x:c r="G21" s="17" t="n">
        <x:v>88</x:v>
      </x:c>
      <x:c r="H21" s="15" t="str">
        <x:v>Active</x:v>
      </x:c>
      <x:c r="I21" s="15" t="str">
        <x:f>IF(F21&gt;=90,"A+",IF(F21&gt;=80,"A",IF(F21&gt;=70,"B",IF(F21&gt;=60,"C","D"))))</x:f>
        <x:v>A</x:v>
      </x:c>
    </x:row>
  </x:sheetData>
  <x:conditionalFormatting sqref="F2:F2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7f76989fa6649c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.5" hidden="0" customWidth="1"/>
    <x:col min="2" max="2" width="12.380000114440918" hidden="0" customWidth="1"/>
    <x:col min="3" max="3" width="11.880000114440918" hidden="0" customWidth="1"/>
    <x:col min="4" max="4" width="15.75" hidden="0" customWidth="1"/>
    <x:col min="5" max="5" width="8.130000114440918" hidden="0" customWidth="1"/>
  </x:cols>
  <x:sheetData>
    <x:row r="1">
      <x:c r="A1" s="24" t="str">
        <x:v>Course</x:v>
      </x:c>
      <x:c r="B1" s="24" t="str">
        <x:v>No. of Students</x:v>
      </x:c>
      <x:c r="C1" s="24" t="str">
        <x:v>Average Marks</x:v>
      </x:c>
      <x:c r="D1" s="24" t="str">
        <x:v>Average Attendance</x:v>
      </x:c>
      <x:c r="E1" s="24" t="str">
        <x:v>Total Fees</x:v>
      </x:c>
    </x:row>
    <x:row r="2">
      <x:c r="A2" t="str">
        <x:v>Python</x:v>
      </x:c>
      <x:c r="B2" t="n">
        <x:f>COUNTIF(Students!$C$2:$C$21,A2)</x:f>
        <x:v>6</x:v>
      </x:c>
      <x:c r="C2" s="28" t="n">
        <x:f>SUMIF(Students!$C$2:$C$21,A2,Students!$F$2:$F$21)/B2</x:f>
        <x:v>79</x:v>
      </x:c>
      <x:c r="D2" s="28" t="n">
        <x:f>SUMIF(Students!$C$2:$C$21,A2,Students!$G$2:$G$21)/B2</x:f>
        <x:v>85.5</x:v>
      </x:c>
      <x:c r="E2" s="10" t="n">
        <x:f>SUMIF(Students!$C$2:$C$21,A2,Students!$E$2:$E$21)</x:f>
        <x:v>90000</x:v>
      </x:c>
    </x:row>
    <x:row r="3">
      <x:c r="A3" t="str">
        <x:v>Data Science</x:v>
      </x:c>
      <x:c r="B3" t="n">
        <x:f>COUNTIF(Students!$C$2:$C$21,A3)</x:f>
        <x:v>5</x:v>
      </x:c>
      <x:c r="C3" s="28" t="n">
        <x:f>SUMIF(Students!$C$2:$C$21,A3,Students!$F$2:$F$21)/B3</x:f>
        <x:v>84.4</x:v>
      </x:c>
      <x:c r="D3" s="28" t="n">
        <x:f>SUMIF(Students!$C$2:$C$21,A3,Students!$G$2:$G$21)/B3</x:f>
        <x:v>89.4</x:v>
      </x:c>
      <x:c r="E3" s="10" t="n">
        <x:f>SUMIF(Students!$C$2:$C$21,A3,Students!$E$2:$E$21)</x:f>
        <x:v>90000</x:v>
      </x:c>
    </x:row>
    <x:row r="4">
      <x:c r="A4" t="str">
        <x:v>AI/ML</x:v>
      </x:c>
      <x:c r="B4" t="n">
        <x:f>COUNTIF(Students!$C$2:$C$21,A4)</x:f>
        <x:v>5</x:v>
      </x:c>
      <x:c r="C4" s="28" t="n">
        <x:f>SUMIF(Students!$C$2:$C$21,A4,Students!$F$2:$F$21)/B4</x:f>
        <x:v>85</x:v>
      </x:c>
      <x:c r="D4" s="28" t="n">
        <x:f>SUMIF(Students!$C$2:$C$21,A4,Students!$G$2:$G$21)/B4</x:f>
        <x:v>90</x:v>
      </x:c>
      <x:c r="E4" s="10" t="n">
        <x:f>SUMIF(Students!$C$2:$C$21,A4,Students!$E$2:$E$21)</x:f>
        <x:v>110000</x:v>
      </x:c>
    </x:row>
    <x:row r="5">
      <x:c r="A5" t="str">
        <x:v>Web Development</x:v>
      </x:c>
      <x:c r="B5" t="n">
        <x:f>COUNTIF(Students!$C$2:$C$21,A5)</x:f>
        <x:v>4</x:v>
      </x:c>
      <x:c r="C5" s="28" t="n">
        <x:f>SUMIF(Students!$C$2:$C$21,A5,Students!$F$2:$F$21)/B5</x:f>
        <x:v>74</x:v>
      </x:c>
      <x:c r="D5" s="28" t="n">
        <x:f>SUMIF(Students!$C$2:$C$21,A5,Students!$G$2:$G$21)/B5</x:f>
        <x:v>80.75</x:v>
      </x:c>
      <x:c r="E5" s="10" t="n">
        <x:f>SUMIF(Students!$C$2:$C$21,A5,Students!$E$2:$E$21)</x:f>
        <x:v>64000</x:v>
      </x:c>
    </x:row>
  </x:sheetData>
  <x:pageMargins left="0.7" right="0.7" top="0.75" bottom="0.75" header="0.3" footer="0.3"/>
  <x:tableParts count="1">
    <x:tablePart xmlns:r="http://schemas.openxmlformats.org/officeDocument/2006/relationships" r:id="R7fe06acb277749e9"/>
  </x:tableParts>
</x:worksheet>
</file>