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anky\Desktop\training_Python_batch1\csv_excel_examples\"/>
    </mc:Choice>
  </mc:AlternateContent>
  <xr:revisionPtr revIDLastSave="0" documentId="13_ncr:1_{D8F7189E-76D4-46DB-B764-E225D514B96C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tudents" sheetId="1" r:id="rId1"/>
    <sheet name="Course 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5" i="2" l="1"/>
  <c r="B5" i="2"/>
  <c r="D5" i="2" s="1"/>
  <c r="E4" i="2"/>
  <c r="B4" i="2"/>
  <c r="D4" i="2" s="1"/>
  <c r="E3" i="2"/>
  <c r="B3" i="2"/>
  <c r="D3" i="2" s="1"/>
  <c r="E2" i="2"/>
  <c r="B2" i="2"/>
  <c r="D2" i="2" s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  <c r="C2" i="2" l="1"/>
  <c r="C3" i="2"/>
  <c r="C4" i="2"/>
  <c r="C5" i="2"/>
</calcChain>
</file>

<file path=xl/sharedStrings.xml><?xml version="1.0" encoding="utf-8"?>
<sst xmlns="http://schemas.openxmlformats.org/spreadsheetml/2006/main" count="98" uniqueCount="51">
  <si>
    <t>Student ID</t>
  </si>
  <si>
    <t>Name</t>
  </si>
  <si>
    <t>Course</t>
  </si>
  <si>
    <t>City</t>
  </si>
  <si>
    <t>Fees</t>
  </si>
  <si>
    <t>Marks</t>
  </si>
  <si>
    <t>Attendance %</t>
  </si>
  <si>
    <t>Status</t>
  </si>
  <si>
    <t>Grade</t>
  </si>
  <si>
    <t>Aarav Sharma</t>
  </si>
  <si>
    <t>Python</t>
  </si>
  <si>
    <t>Pune</t>
  </si>
  <si>
    <t>Active</t>
  </si>
  <si>
    <t>Riya Mehta</t>
  </si>
  <si>
    <t>Data Science</t>
  </si>
  <si>
    <t>Mumbai</t>
  </si>
  <si>
    <t>Kabir Singh</t>
  </si>
  <si>
    <t>Delhi</t>
  </si>
  <si>
    <t>Sneha Patil</t>
  </si>
  <si>
    <t>AI/ML</t>
  </si>
  <si>
    <t>Arjun Nair</t>
  </si>
  <si>
    <t>Web Development</t>
  </si>
  <si>
    <t>Bengaluru</t>
  </si>
  <si>
    <t>Ishita Verma</t>
  </si>
  <si>
    <t>Vihaan Joshi</t>
  </si>
  <si>
    <t>Nagpur</t>
  </si>
  <si>
    <t>Ananya Rao</t>
  </si>
  <si>
    <t>Hyderabad</t>
  </si>
  <si>
    <t>Aditya Kulkarni</t>
  </si>
  <si>
    <t>Meera Iyer</t>
  </si>
  <si>
    <t>Chennai</t>
  </si>
  <si>
    <t>Rahul Deshmukh</t>
  </si>
  <si>
    <t>Nashik</t>
  </si>
  <si>
    <t>Sara Khan</t>
  </si>
  <si>
    <t>Dev Malhotra</t>
  </si>
  <si>
    <t>Inactive</t>
  </si>
  <si>
    <t>Nisha Gupta</t>
  </si>
  <si>
    <t>Jaipur</t>
  </si>
  <si>
    <t>Omkar Jadhav</t>
  </si>
  <si>
    <t>Tanya Bose</t>
  </si>
  <si>
    <t>Kolkata</t>
  </si>
  <si>
    <t>Yash Bhat</t>
  </si>
  <si>
    <t>Pooja Mishra</t>
  </si>
  <si>
    <t>Lucknow</t>
  </si>
  <si>
    <t>Karan Shah</t>
  </si>
  <si>
    <t>Ahmedabad</t>
  </si>
  <si>
    <t>Neha Kapoor</t>
  </si>
  <si>
    <t>No. of Students</t>
  </si>
  <si>
    <t>Average Marks</t>
  </si>
  <si>
    <t>Average Attendance</t>
  </si>
  <si>
    <t>Total Fees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</si>
</sst>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₹#,##0"/>
    <numFmt numFmtId="165" formatCode="0&quot;%&quot;"/>
    <numFmt numFmtId="166" formatCode="0.0"/>
  </numFmts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4823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164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  <xf numFmtId="165" fontId="0" fillId="0" borderId="0" xfId="0" applyNumberFormat="1" applyAlignment="1">
      <alignment wrapText="1"/>
    </xf>
    <xf numFmtId="0" fontId="1" fillId="3" borderId="0" xfId="0" applyFont="1" applyFill="1" applyAlignment="1">
      <alignment horizontal="center"/>
    </xf>
    <xf numFmtId="166" fontId="0" fillId="0" borderId="0" xfId="0" applyNumberFormat="1"/>
    <xf numFmtId="2" fontId="1" fillId="2" borderId="0" xfId="0" applyNumberFormat="1" applyFont="1" applyFill="1" applyAlignment="1">
      <alignment horizontal="center" vertical="center" wrapText="1"/>
    </xf>
    <xf numFmtId="2" fontId="0" fillId="0" borderId="0" xfId="0" applyNumberForma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1"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entsTable" displayName="StudentsTable" ref="A1:I21" totalsRowShown="0">
  <tableColumns count="9">
    <tableColumn id="1" xr3:uid="{00000000-0010-0000-0000-000001000000}" name="Student ID" dataDxfId="0"/>
    <tableColumn id="2" xr3:uid="{00000000-0010-0000-0000-000002000000}" name="Name"/>
    <tableColumn id="3" xr3:uid="{00000000-0010-0000-0000-000003000000}" name="Course"/>
    <tableColumn id="4" xr3:uid="{00000000-0010-0000-0000-000004000000}" name="City"/>
    <tableColumn id="5" xr3:uid="{00000000-0010-0000-0000-000005000000}" name="Fees"/>
    <tableColumn id="6" xr3:uid="{00000000-0010-0000-0000-000006000000}" name="Marks"/>
    <tableColumn id="7" xr3:uid="{00000000-0010-0000-0000-000007000000}" name="Attendance %"/>
    <tableColumn id="8" xr3:uid="{00000000-0010-0000-0000-000008000000}" name="Status"/>
    <tableColumn id="9" xr3:uid="{00000000-0010-0000-0000-000009000000}" name="Grad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ourseSummaryTable" displayName="CourseSummaryTable" ref="A1:E5" totalsRowShown="0">
  <tableColumns count="5">
    <tableColumn id="1" xr3:uid="{00000000-0010-0000-0100-000001000000}" name="Course"/>
    <tableColumn id="2" xr3:uid="{00000000-0010-0000-0100-000002000000}" name="No. of Students"/>
    <tableColumn id="3" xr3:uid="{00000000-0010-0000-0100-000003000000}" name="Average Marks"/>
    <tableColumn id="4" xr3:uid="{00000000-0010-0000-0100-000004000000}" name="Average Attendance"/>
    <tableColumn id="5" xr3:uid="{00000000-0010-0000-0100-000005000000}" name="Total Fe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1"/>
  <sheetViews>
    <sheetView tabSelected="1" workbookViewId="0">
      <selection activeCell="A4" sqref="A4"/>
    </sheetView>
  </sheetViews>
  <sheetFormatPr defaultRowHeight="13.5"/>
  <cols>
    <col min="1" max="1" width="12" style="10" customWidth="1"/>
    <col min="2" max="2" width="22" customWidth="1"/>
    <col min="3" max="3" width="20" customWidth="1"/>
    <col min="4" max="4" width="16" customWidth="1"/>
    <col min="5" max="5" width="12" customWidth="1"/>
    <col min="6" max="6" width="10" customWidth="1"/>
    <col min="7" max="7" width="16" customWidth="1"/>
    <col min="8" max="8" width="12" customWidth="1"/>
    <col min="9" max="9" width="10" customWidth="1"/>
  </cols>
  <sheetData>
    <row r="1" spans="1:9" ht="13.9">
      <c r="A1" s="8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s="9">
        <v>1001</v>
      </c>
      <c r="B2" s="3" t="s">
        <v>9</v>
      </c>
      <c r="C2" s="3" t="s">
        <v>10</v>
      </c>
      <c r="D2" s="3" t="s">
        <v>11</v>
      </c>
      <c r="E2" s="4">
        <v>15000</v>
      </c>
      <c r="F2" s="3">
        <v>88</v>
      </c>
      <c r="G2" s="5">
        <v>92</v>
      </c>
      <c r="H2" s="3" t="s">
        <v>12</v>
      </c>
      <c r="I2" s="3" t="str">
        <f t="shared" ref="I2:I21" si="0">IF(F2&gt;=90,"A+",IF(F2&gt;=80,"A",IF(F2&gt;=70,"B",IF(F2&gt;=60,"C","D"))))</f>
        <v>A</v>
      </c>
    </row>
    <row r="3" spans="1:9">
      <c r="A3" s="9">
        <v>1002</v>
      </c>
      <c r="B3" s="3" t="s">
        <v>13</v>
      </c>
      <c r="C3" s="3" t="s">
        <v>14</v>
      </c>
      <c r="D3" s="3" t="s">
        <v>15</v>
      </c>
      <c r="E3" s="4">
        <v>18000</v>
      </c>
      <c r="F3" s="3">
        <v>91</v>
      </c>
      <c r="G3" s="5">
        <v>95</v>
      </c>
      <c r="H3" s="3" t="s">
        <v>12</v>
      </c>
      <c r="I3" s="3" t="str">
        <f t="shared" si="0"/>
        <v>A+</v>
      </c>
    </row>
    <row r="4" spans="1:9">
      <c r="A4" s="9">
        <v>1003</v>
      </c>
      <c r="B4" s="3" t="s">
        <v>16</v>
      </c>
      <c r="C4" s="3" t="s">
        <v>10</v>
      </c>
      <c r="D4" s="3" t="s">
        <v>17</v>
      </c>
      <c r="E4" s="4">
        <v>15000</v>
      </c>
      <c r="F4" s="3">
        <v>76</v>
      </c>
      <c r="G4" s="5">
        <v>84</v>
      </c>
      <c r="H4" s="3" t="s">
        <v>12</v>
      </c>
      <c r="I4" s="3" t="str">
        <f t="shared" si="0"/>
        <v>B</v>
      </c>
    </row>
    <row r="5" spans="1:9">
      <c r="A5" s="9">
        <v>1004</v>
      </c>
      <c r="B5" s="3" t="s">
        <v>18</v>
      </c>
      <c r="C5" s="3" t="s">
        <v>19</v>
      </c>
      <c r="D5" s="3" t="s">
        <v>11</v>
      </c>
      <c r="E5" s="4">
        <v>22000</v>
      </c>
      <c r="F5" s="3">
        <v>94</v>
      </c>
      <c r="G5" s="5">
        <v>97</v>
      </c>
      <c r="H5" s="3" t="s">
        <v>12</v>
      </c>
      <c r="I5" s="3" t="str">
        <f t="shared" si="0"/>
        <v>A+</v>
      </c>
    </row>
    <row r="6" spans="1:9">
      <c r="A6" s="9">
        <v>1005</v>
      </c>
      <c r="B6" s="3" t="s">
        <v>20</v>
      </c>
      <c r="C6" s="3" t="s">
        <v>21</v>
      </c>
      <c r="D6" s="3" t="s">
        <v>22</v>
      </c>
      <c r="E6" s="4">
        <v>16000</v>
      </c>
      <c r="F6" s="3">
        <v>69</v>
      </c>
      <c r="G6" s="5">
        <v>78</v>
      </c>
      <c r="H6" s="3" t="s">
        <v>12</v>
      </c>
      <c r="I6" s="3" t="str">
        <f t="shared" si="0"/>
        <v>C</v>
      </c>
    </row>
    <row r="7" spans="1:9">
      <c r="A7" s="9">
        <v>1006</v>
      </c>
      <c r="B7" s="3" t="s">
        <v>23</v>
      </c>
      <c r="C7" s="3" t="s">
        <v>14</v>
      </c>
      <c r="D7" s="3" t="s">
        <v>17</v>
      </c>
      <c r="E7" s="4">
        <v>18000</v>
      </c>
      <c r="F7" s="3">
        <v>85</v>
      </c>
      <c r="G7" s="5">
        <v>89</v>
      </c>
      <c r="H7" s="3" t="s">
        <v>12</v>
      </c>
      <c r="I7" s="3" t="str">
        <f t="shared" si="0"/>
        <v>A</v>
      </c>
    </row>
    <row r="8" spans="1:9">
      <c r="A8" s="9">
        <v>1007</v>
      </c>
      <c r="B8" s="3" t="s">
        <v>24</v>
      </c>
      <c r="C8" s="3" t="s">
        <v>10</v>
      </c>
      <c r="D8" s="3" t="s">
        <v>25</v>
      </c>
      <c r="E8" s="4">
        <v>15000</v>
      </c>
      <c r="F8" s="3">
        <v>72</v>
      </c>
      <c r="G8" s="5">
        <v>81</v>
      </c>
      <c r="H8" s="3" t="s">
        <v>12</v>
      </c>
      <c r="I8" s="3" t="str">
        <f t="shared" si="0"/>
        <v>B</v>
      </c>
    </row>
    <row r="9" spans="1:9">
      <c r="A9" s="9">
        <v>1008</v>
      </c>
      <c r="B9" s="3" t="s">
        <v>26</v>
      </c>
      <c r="C9" s="3" t="s">
        <v>19</v>
      </c>
      <c r="D9" s="3" t="s">
        <v>27</v>
      </c>
      <c r="E9" s="4">
        <v>22000</v>
      </c>
      <c r="F9" s="3">
        <v>89</v>
      </c>
      <c r="G9" s="5">
        <v>94</v>
      </c>
      <c r="H9" s="3" t="s">
        <v>12</v>
      </c>
      <c r="I9" s="3" t="str">
        <f t="shared" si="0"/>
        <v>A</v>
      </c>
    </row>
    <row r="10" spans="1:9">
      <c r="A10" s="9">
        <v>1009</v>
      </c>
      <c r="B10" s="3" t="s">
        <v>28</v>
      </c>
      <c r="C10" s="3" t="s">
        <v>21</v>
      </c>
      <c r="D10" s="3" t="s">
        <v>11</v>
      </c>
      <c r="E10" s="4">
        <v>16000</v>
      </c>
      <c r="F10" s="3">
        <v>81</v>
      </c>
      <c r="G10" s="5">
        <v>87</v>
      </c>
      <c r="H10" s="3" t="s">
        <v>12</v>
      </c>
      <c r="I10" s="3" t="str">
        <f t="shared" si="0"/>
        <v>A</v>
      </c>
    </row>
    <row r="11" spans="1:9">
      <c r="A11" s="9">
        <v>1010</v>
      </c>
      <c r="B11" s="3" t="s">
        <v>29</v>
      </c>
      <c r="C11" s="3" t="s">
        <v>10</v>
      </c>
      <c r="D11" s="3" t="s">
        <v>30</v>
      </c>
      <c r="E11" s="4">
        <v>15000</v>
      </c>
      <c r="F11" s="3">
        <v>96</v>
      </c>
      <c r="G11" s="5">
        <v>98</v>
      </c>
      <c r="H11" s="3" t="s">
        <v>12</v>
      </c>
      <c r="I11" s="3" t="str">
        <f t="shared" si="0"/>
        <v>A+</v>
      </c>
    </row>
    <row r="12" spans="1:9">
      <c r="A12" s="9">
        <v>1011</v>
      </c>
      <c r="B12" s="3" t="s">
        <v>31</v>
      </c>
      <c r="C12" s="3" t="s">
        <v>14</v>
      </c>
      <c r="D12" s="3" t="s">
        <v>32</v>
      </c>
      <c r="E12" s="4">
        <v>18000</v>
      </c>
      <c r="F12" s="3">
        <v>64</v>
      </c>
      <c r="G12" s="5">
        <v>74</v>
      </c>
      <c r="H12" s="3" t="s">
        <v>12</v>
      </c>
      <c r="I12" s="3" t="str">
        <f t="shared" si="0"/>
        <v>C</v>
      </c>
    </row>
    <row r="13" spans="1:9">
      <c r="A13" s="9">
        <v>1012</v>
      </c>
      <c r="B13" s="3" t="s">
        <v>33</v>
      </c>
      <c r="C13" s="3" t="s">
        <v>19</v>
      </c>
      <c r="D13" s="3" t="s">
        <v>15</v>
      </c>
      <c r="E13" s="4">
        <v>22000</v>
      </c>
      <c r="F13" s="3">
        <v>87</v>
      </c>
      <c r="G13" s="5">
        <v>91</v>
      </c>
      <c r="H13" s="3" t="s">
        <v>12</v>
      </c>
      <c r="I13" s="3" t="str">
        <f t="shared" si="0"/>
        <v>A</v>
      </c>
    </row>
    <row r="14" spans="1:9">
      <c r="A14" s="9">
        <v>1013</v>
      </c>
      <c r="B14" s="3" t="s">
        <v>34</v>
      </c>
      <c r="C14" s="3" t="s">
        <v>10</v>
      </c>
      <c r="D14" s="3" t="s">
        <v>17</v>
      </c>
      <c r="E14" s="4">
        <v>15000</v>
      </c>
      <c r="F14" s="3">
        <v>58</v>
      </c>
      <c r="G14" s="5">
        <v>68</v>
      </c>
      <c r="H14" s="3" t="s">
        <v>35</v>
      </c>
      <c r="I14" s="3" t="str">
        <f t="shared" si="0"/>
        <v>D</v>
      </c>
    </row>
    <row r="15" spans="1:9">
      <c r="A15" s="9">
        <v>1014</v>
      </c>
      <c r="B15" s="3" t="s">
        <v>36</v>
      </c>
      <c r="C15" s="3" t="s">
        <v>21</v>
      </c>
      <c r="D15" s="3" t="s">
        <v>37</v>
      </c>
      <c r="E15" s="4">
        <v>16000</v>
      </c>
      <c r="F15" s="3">
        <v>79</v>
      </c>
      <c r="G15" s="5">
        <v>83</v>
      </c>
      <c r="H15" s="3" t="s">
        <v>12</v>
      </c>
      <c r="I15" s="3" t="str">
        <f t="shared" si="0"/>
        <v>B</v>
      </c>
    </row>
    <row r="16" spans="1:9">
      <c r="A16" s="9">
        <v>1015</v>
      </c>
      <c r="B16" s="3" t="s">
        <v>38</v>
      </c>
      <c r="C16" s="3" t="s">
        <v>14</v>
      </c>
      <c r="D16" s="3" t="s">
        <v>11</v>
      </c>
      <c r="E16" s="4">
        <v>18000</v>
      </c>
      <c r="F16" s="3">
        <v>92</v>
      </c>
      <c r="G16" s="5">
        <v>96</v>
      </c>
      <c r="H16" s="3" t="s">
        <v>12</v>
      </c>
      <c r="I16" s="3" t="str">
        <f t="shared" si="0"/>
        <v>A+</v>
      </c>
    </row>
    <row r="17" spans="1:9">
      <c r="A17" s="9">
        <v>1016</v>
      </c>
      <c r="B17" s="3" t="s">
        <v>39</v>
      </c>
      <c r="C17" s="3" t="s">
        <v>19</v>
      </c>
      <c r="D17" s="3" t="s">
        <v>40</v>
      </c>
      <c r="E17" s="4">
        <v>22000</v>
      </c>
      <c r="F17" s="3">
        <v>73</v>
      </c>
      <c r="G17" s="5">
        <v>80</v>
      </c>
      <c r="H17" s="3" t="s">
        <v>12</v>
      </c>
      <c r="I17" s="3" t="str">
        <f t="shared" si="0"/>
        <v>B</v>
      </c>
    </row>
    <row r="18" spans="1:9">
      <c r="A18" s="9">
        <v>1017</v>
      </c>
      <c r="B18" s="3" t="s">
        <v>41</v>
      </c>
      <c r="C18" s="3" t="s">
        <v>10</v>
      </c>
      <c r="D18" s="3" t="s">
        <v>22</v>
      </c>
      <c r="E18" s="4">
        <v>15000</v>
      </c>
      <c r="F18" s="3">
        <v>84</v>
      </c>
      <c r="G18" s="5">
        <v>90</v>
      </c>
      <c r="H18" s="3" t="s">
        <v>12</v>
      </c>
      <c r="I18" s="3" t="str">
        <f t="shared" si="0"/>
        <v>A</v>
      </c>
    </row>
    <row r="19" spans="1:9">
      <c r="A19" s="9">
        <v>1018</v>
      </c>
      <c r="B19" s="3" t="s">
        <v>42</v>
      </c>
      <c r="C19" s="3" t="s">
        <v>21</v>
      </c>
      <c r="D19" s="3" t="s">
        <v>43</v>
      </c>
      <c r="E19" s="4">
        <v>16000</v>
      </c>
      <c r="F19" s="3">
        <v>67</v>
      </c>
      <c r="G19" s="5">
        <v>75</v>
      </c>
      <c r="H19" s="3" t="s">
        <v>35</v>
      </c>
      <c r="I19" s="3" t="str">
        <f t="shared" si="0"/>
        <v>C</v>
      </c>
    </row>
    <row r="20" spans="1:9">
      <c r="A20" s="9">
        <v>1019</v>
      </c>
      <c r="B20" s="3" t="s">
        <v>44</v>
      </c>
      <c r="C20" s="3" t="s">
        <v>14</v>
      </c>
      <c r="D20" s="3" t="s">
        <v>45</v>
      </c>
      <c r="E20" s="4">
        <v>18000</v>
      </c>
      <c r="F20" s="3">
        <v>90</v>
      </c>
      <c r="G20" s="5">
        <v>93</v>
      </c>
      <c r="H20" s="3" t="s">
        <v>12</v>
      </c>
      <c r="I20" s="3" t="str">
        <f t="shared" si="0"/>
        <v>A+</v>
      </c>
    </row>
    <row r="21" spans="1:9">
      <c r="A21" s="9">
        <v>1020</v>
      </c>
      <c r="B21" s="3" t="s">
        <v>46</v>
      </c>
      <c r="C21" s="3" t="s">
        <v>19</v>
      </c>
      <c r="D21" s="3" t="s">
        <v>17</v>
      </c>
      <c r="E21" s="4">
        <v>22000</v>
      </c>
      <c r="F21" s="3">
        <v>82</v>
      </c>
      <c r="G21" s="5">
        <v>88</v>
      </c>
      <c r="H21" s="3" t="s">
        <v>12</v>
      </c>
      <c r="I21" s="3" t="str">
        <f t="shared" si="0"/>
        <v>A</v>
      </c>
    </row>
  </sheetData>
  <conditionalFormatting sqref="F2:F2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3.5"/>
  <cols>
    <col min="1" max="1" width="14.5" customWidth="1"/>
    <col min="2" max="2" width="12.375" customWidth="1"/>
    <col min="3" max="3" width="11.875" customWidth="1"/>
    <col min="4" max="4" width="15.75" customWidth="1"/>
    <col min="5" max="5" width="8.125" customWidth="1"/>
  </cols>
  <sheetData>
    <row r="1" spans="1:5" ht="13.9">
      <c r="A1" s="6" t="s">
        <v>2</v>
      </c>
      <c r="B1" s="6" t="s">
        <v>47</v>
      </c>
      <c r="C1" s="6" t="s">
        <v>48</v>
      </c>
      <c r="D1" s="6" t="s">
        <v>49</v>
      </c>
      <c r="E1" s="6" t="s">
        <v>50</v>
      </c>
    </row>
    <row r="2" spans="1:5">
      <c r="A2" t="s">
        <v>10</v>
      </c>
      <c r="B2">
        <f>COUNTIF(Students!$C$2:$C$21,A2)</f>
        <v>6</v>
      </c>
      <c r="C2" s="7">
        <f>SUMIF(Students!$C$2:$C$21,A2,Students!$F$2:$F$21)/B2</f>
        <v>79</v>
      </c>
      <c r="D2" s="7">
        <f>SUMIF(Students!$C$2:$C$21,A2,Students!$G$2:$G$21)/B2</f>
        <v>85.5</v>
      </c>
      <c r="E2" s="1">
        <f>SUMIF(Students!$C$2:$C$21,A2,Students!$E$2:$E$21)</f>
        <v>90000</v>
      </c>
    </row>
    <row r="3" spans="1:5">
      <c r="A3" t="s">
        <v>14</v>
      </c>
      <c r="B3">
        <f>COUNTIF(Students!$C$2:$C$21,A3)</f>
        <v>5</v>
      </c>
      <c r="C3" s="7">
        <f>SUMIF(Students!$C$2:$C$21,A3,Students!$F$2:$F$21)/B3</f>
        <v>84.4</v>
      </c>
      <c r="D3" s="7">
        <f>SUMIF(Students!$C$2:$C$21,A3,Students!$G$2:$G$21)/B3</f>
        <v>89.4</v>
      </c>
      <c r="E3" s="1">
        <f>SUMIF(Students!$C$2:$C$21,A3,Students!$E$2:$E$21)</f>
        <v>90000</v>
      </c>
    </row>
    <row r="4" spans="1:5">
      <c r="A4" t="s">
        <v>19</v>
      </c>
      <c r="B4">
        <f>COUNTIF(Students!$C$2:$C$21,A4)</f>
        <v>5</v>
      </c>
      <c r="C4" s="7">
        <f>SUMIF(Students!$C$2:$C$21,A4,Students!$F$2:$F$21)/B4</f>
        <v>85</v>
      </c>
      <c r="D4" s="7">
        <f>SUMIF(Students!$C$2:$C$21,A4,Students!$G$2:$G$21)/B4</f>
        <v>90</v>
      </c>
      <c r="E4" s="1">
        <f>SUMIF(Students!$C$2:$C$21,A4,Students!$E$2:$E$21)</f>
        <v>110000</v>
      </c>
    </row>
    <row r="5" spans="1:5">
      <c r="A5" t="s">
        <v>21</v>
      </c>
      <c r="B5">
        <f>COUNTIF(Students!$C$2:$C$21,A5)</f>
        <v>4</v>
      </c>
      <c r="C5" s="7">
        <f>SUMIF(Students!$C$2:$C$21,A5,Students!$F$2:$F$21)/B5</f>
        <v>74</v>
      </c>
      <c r="D5" s="7">
        <f>SUMIF(Students!$C$2:$C$21,A5,Students!$G$2:$G$21)/B5</f>
        <v>80.75</v>
      </c>
      <c r="E5" s="1">
        <f>SUMIF(Students!$C$2:$C$21,A5,Students!$E$2:$E$21)</f>
        <v>64000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Students</vt:lpstr>
      <vt:lpstr>Course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Sanket D</cp:lastModifiedBy>
  <dcterms:modified xsi:type="dcterms:W3CDTF">2026-08-27T16:48:45Z</dcterms:modified>
</cp:coreProperties>
</file>