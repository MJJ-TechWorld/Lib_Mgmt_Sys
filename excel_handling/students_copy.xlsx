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tudents" sheetId="1" state="visible" r:id="rId1"/>
    <sheet name="Course 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₹#,##0"/>
    <numFmt numFmtId="165" formatCode="0&quot;%&quot;"/>
    <numFmt numFmtId="166" formatCode="0.0"/>
  </numFmts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1" fillId="3" borderId="0" applyAlignment="1" pivotButton="0" quotePrefix="0" xfId="0">
      <alignment horizontal="center"/>
    </xf>
    <xf numFmtId="166" fontId="0" fillId="0" borderId="0" pivotButton="0" quotePrefix="0" xfId="0"/>
    <xf numFmtId="2" fontId="1" fillId="2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wrapText="1"/>
    </xf>
    <xf numFmtId="2" fontId="0" fillId="0" borderId="0" pivotButton="0" quotePrefix="0" xfId="0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tudentsTable" displayName="StudentsTable" ref="A1:I21" headerRowCount="1" totalsRowShown="0">
  <tableColumns count="9">
    <tableColumn id="1" name="Student ID" dataDxfId="0"/>
    <tableColumn id="2" name="Name"/>
    <tableColumn id="3" name="Course"/>
    <tableColumn id="4" name="City"/>
    <tableColumn id="5" name="Fees"/>
    <tableColumn id="6" name="Marks"/>
    <tableColumn id="7" name="Attendance %"/>
    <tableColumn id="8" name="Status"/>
    <tableColumn id="9" name="Gr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urseSummaryTable" displayName="CourseSummaryTable" ref="A1:E5" headerRowCount="1" totalsRowShown="0">
  <tableColumns count="5">
    <tableColumn id="1" name="Course"/>
    <tableColumn id="2" name="No. of Students"/>
    <tableColumn id="3" name="Average Marks"/>
    <tableColumn id="4" name="Average Attendance"/>
    <tableColumn id="5" name="Total Fe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workbookViewId="0">
      <selection activeCell="A22" sqref="A22:J23"/>
    </sheetView>
  </sheetViews>
  <sheetFormatPr baseColWidth="8" defaultRowHeight="13.5"/>
  <cols>
    <col width="12" customWidth="1" style="10" min="1" max="1"/>
    <col width="22" customWidth="1" min="2" max="2"/>
    <col width="20" customWidth="1" min="3" max="3"/>
    <col width="16" customWidth="1" min="4" max="4"/>
    <col width="12" customWidth="1" min="5" max="5"/>
    <col width="10" customWidth="1" min="6" max="6"/>
    <col width="16" customWidth="1" min="7" max="7"/>
    <col width="12" customWidth="1" min="8" max="8"/>
    <col width="10" customWidth="1" min="9" max="9"/>
  </cols>
  <sheetData>
    <row r="1" ht="13.9" customHeight="1">
      <c r="A1" s="8" t="inlineStr">
        <is>
          <t>Student ID</t>
        </is>
      </c>
      <c r="B1" s="2" t="inlineStr">
        <is>
          <t>Name</t>
        </is>
      </c>
      <c r="C1" s="2" t="inlineStr">
        <is>
          <t>Course</t>
        </is>
      </c>
      <c r="D1" s="2" t="inlineStr">
        <is>
          <t>City</t>
        </is>
      </c>
      <c r="E1" s="2" t="inlineStr">
        <is>
          <t>Fees</t>
        </is>
      </c>
      <c r="F1" s="2" t="inlineStr">
        <is>
          <t>Marks</t>
        </is>
      </c>
      <c r="G1" s="2" t="inlineStr">
        <is>
          <t>Attendance %</t>
        </is>
      </c>
      <c r="H1" s="2" t="inlineStr">
        <is>
          <t>Status</t>
        </is>
      </c>
      <c r="I1" s="2" t="inlineStr">
        <is>
          <t>Grade</t>
        </is>
      </c>
    </row>
    <row r="2">
      <c r="A2" s="9" t="n">
        <v>1001</v>
      </c>
      <c r="B2" s="3" t="inlineStr">
        <is>
          <t>Aarav Sharma</t>
        </is>
      </c>
      <c r="C2" s="3" t="inlineStr">
        <is>
          <t>Python</t>
        </is>
      </c>
      <c r="D2" s="3" t="inlineStr">
        <is>
          <t>Pune</t>
        </is>
      </c>
      <c r="E2" s="4" t="n">
        <v>15000</v>
      </c>
      <c r="F2" s="3" t="n">
        <v>88</v>
      </c>
      <c r="G2" s="5" t="n">
        <v>92</v>
      </c>
      <c r="H2" s="3" t="inlineStr">
        <is>
          <t>Active</t>
        </is>
      </c>
      <c r="I2" s="3">
        <f>IF(F2&gt;=90,"A+",IF(F2&gt;=80,"A",IF(F2&gt;=70,"B",IF(F2&gt;=60,"C","D"))))</f>
        <v/>
      </c>
    </row>
    <row r="3">
      <c r="A3" s="9" t="n">
        <v>1002</v>
      </c>
      <c r="B3" s="3" t="inlineStr">
        <is>
          <t>Riya Mehta</t>
        </is>
      </c>
      <c r="C3" s="3" t="inlineStr">
        <is>
          <t>Data Science</t>
        </is>
      </c>
      <c r="D3" s="3" t="inlineStr">
        <is>
          <t>Mumbai</t>
        </is>
      </c>
      <c r="E3" s="4" t="n">
        <v>18000</v>
      </c>
      <c r="F3" s="3" t="n">
        <v>91</v>
      </c>
      <c r="G3" s="5" t="n">
        <v>95</v>
      </c>
      <c r="H3" s="3" t="inlineStr">
        <is>
          <t>Active</t>
        </is>
      </c>
      <c r="I3" s="3">
        <f>IF(F3&gt;=90,"A+",IF(F3&gt;=80,"A",IF(F3&gt;=70,"B",IF(F3&gt;=60,"C","D"))))</f>
        <v/>
      </c>
    </row>
    <row r="4">
      <c r="A4" s="9" t="n">
        <v>1003</v>
      </c>
      <c r="B4" s="3" t="inlineStr">
        <is>
          <t>Kabir Singh</t>
        </is>
      </c>
      <c r="C4" s="3" t="inlineStr">
        <is>
          <t>Python</t>
        </is>
      </c>
      <c r="D4" s="3" t="inlineStr">
        <is>
          <t>Delhi</t>
        </is>
      </c>
      <c r="E4" s="4" t="n">
        <v>15000</v>
      </c>
      <c r="F4" s="3" t="n">
        <v>76</v>
      </c>
      <c r="G4" s="5" t="n">
        <v>84</v>
      </c>
      <c r="H4" s="3" t="inlineStr">
        <is>
          <t>Active</t>
        </is>
      </c>
      <c r="I4" s="3">
        <f>IF(F4&gt;=90,"A+",IF(F4&gt;=80,"A",IF(F4&gt;=70,"B",IF(F4&gt;=60,"C","D"))))</f>
        <v/>
      </c>
    </row>
    <row r="5">
      <c r="A5" s="9" t="n">
        <v>1004</v>
      </c>
      <c r="B5" s="3" t="inlineStr">
        <is>
          <t>Sneha Patil</t>
        </is>
      </c>
      <c r="C5" s="3" t="inlineStr">
        <is>
          <t>AI/ML</t>
        </is>
      </c>
      <c r="D5" s="3" t="inlineStr">
        <is>
          <t>Pune</t>
        </is>
      </c>
      <c r="E5" s="4" t="n">
        <v>22000</v>
      </c>
      <c r="F5" s="3" t="n">
        <v>94</v>
      </c>
      <c r="G5" s="5" t="n">
        <v>97</v>
      </c>
      <c r="H5" s="3" t="inlineStr">
        <is>
          <t>Active</t>
        </is>
      </c>
      <c r="I5" s="3">
        <f>IF(F5&gt;=90,"A+",IF(F5&gt;=80,"A",IF(F5&gt;=70,"B",IF(F5&gt;=60,"C","D"))))</f>
        <v/>
      </c>
    </row>
    <row r="6">
      <c r="A6" s="9" t="n">
        <v>1005</v>
      </c>
      <c r="B6" s="3" t="inlineStr">
        <is>
          <t>Arjun Nair</t>
        </is>
      </c>
      <c r="C6" s="3" t="inlineStr">
        <is>
          <t>Web Development</t>
        </is>
      </c>
      <c r="D6" s="3" t="inlineStr">
        <is>
          <t>Bengaluru</t>
        </is>
      </c>
      <c r="E6" s="4" t="n">
        <v>16000</v>
      </c>
      <c r="F6" s="3" t="n">
        <v>69</v>
      </c>
      <c r="G6" s="5" t="n">
        <v>78</v>
      </c>
      <c r="H6" s="3" t="inlineStr">
        <is>
          <t>Active</t>
        </is>
      </c>
      <c r="I6" s="3">
        <f>IF(F6&gt;=90,"A+",IF(F6&gt;=80,"A",IF(F6&gt;=70,"B",IF(F6&gt;=60,"C","D"))))</f>
        <v/>
      </c>
    </row>
    <row r="7">
      <c r="A7" s="9" t="n">
        <v>1006</v>
      </c>
      <c r="B7" s="3" t="inlineStr">
        <is>
          <t>Ishita Verma</t>
        </is>
      </c>
      <c r="C7" s="3" t="inlineStr">
        <is>
          <t>Data Science</t>
        </is>
      </c>
      <c r="D7" s="3" t="inlineStr">
        <is>
          <t>Delhi</t>
        </is>
      </c>
      <c r="E7" s="4" t="n">
        <v>18000</v>
      </c>
      <c r="F7" s="3" t="n">
        <v>85</v>
      </c>
      <c r="G7" s="5" t="n">
        <v>89</v>
      </c>
      <c r="H7" s="3" t="inlineStr">
        <is>
          <t>Active</t>
        </is>
      </c>
      <c r="I7" s="3">
        <f>IF(F7&gt;=90,"A+",IF(F7&gt;=80,"A",IF(F7&gt;=70,"B",IF(F7&gt;=60,"C","D"))))</f>
        <v/>
      </c>
    </row>
    <row r="8">
      <c r="A8" s="9" t="n">
        <v>1007</v>
      </c>
      <c r="B8" s="3" t="inlineStr">
        <is>
          <t>Vihaan Joshi</t>
        </is>
      </c>
      <c r="C8" s="3" t="inlineStr">
        <is>
          <t>Python</t>
        </is>
      </c>
      <c r="D8" s="3" t="inlineStr">
        <is>
          <t>Nagpur</t>
        </is>
      </c>
      <c r="E8" s="4" t="n">
        <v>15000</v>
      </c>
      <c r="F8" s="3" t="n">
        <v>72</v>
      </c>
      <c r="G8" s="5" t="n">
        <v>81</v>
      </c>
      <c r="H8" s="3" t="inlineStr">
        <is>
          <t>Active</t>
        </is>
      </c>
      <c r="I8" s="3">
        <f>IF(F8&gt;=90,"A+",IF(F8&gt;=80,"A",IF(F8&gt;=70,"B",IF(F8&gt;=60,"C","D"))))</f>
        <v/>
      </c>
    </row>
    <row r="9">
      <c r="A9" s="9" t="n">
        <v>1008</v>
      </c>
      <c r="B9" s="3" t="inlineStr">
        <is>
          <t>Ananya Rao</t>
        </is>
      </c>
      <c r="C9" s="3" t="inlineStr">
        <is>
          <t>AI/ML</t>
        </is>
      </c>
      <c r="D9" s="3" t="inlineStr">
        <is>
          <t>Hyderabad</t>
        </is>
      </c>
      <c r="E9" s="4" t="n">
        <v>22000</v>
      </c>
      <c r="F9" s="3" t="n">
        <v>89</v>
      </c>
      <c r="G9" s="5" t="n">
        <v>94</v>
      </c>
      <c r="H9" s="3" t="inlineStr">
        <is>
          <t>Active</t>
        </is>
      </c>
      <c r="I9" s="3">
        <f>IF(F9&gt;=90,"A+",IF(F9&gt;=80,"A",IF(F9&gt;=70,"B",IF(F9&gt;=60,"C","D"))))</f>
        <v/>
      </c>
    </row>
    <row r="10">
      <c r="A10" s="9" t="n">
        <v>1009</v>
      </c>
      <c r="B10" s="3" t="inlineStr">
        <is>
          <t>Aditya Kulkarni</t>
        </is>
      </c>
      <c r="C10" s="3" t="inlineStr">
        <is>
          <t>Web Development</t>
        </is>
      </c>
      <c r="D10" s="3" t="inlineStr">
        <is>
          <t>Pune</t>
        </is>
      </c>
      <c r="E10" s="4" t="n">
        <v>16000</v>
      </c>
      <c r="F10" s="3" t="n">
        <v>81</v>
      </c>
      <c r="G10" s="5" t="n">
        <v>87</v>
      </c>
      <c r="H10" s="3" t="inlineStr">
        <is>
          <t>Active</t>
        </is>
      </c>
      <c r="I10" s="3">
        <f>IF(F10&gt;=90,"A+",IF(F10&gt;=80,"A",IF(F10&gt;=70,"B",IF(F10&gt;=60,"C","D"))))</f>
        <v/>
      </c>
    </row>
    <row r="11">
      <c r="A11" s="9" t="n">
        <v>1010</v>
      </c>
      <c r="B11" s="3" t="inlineStr">
        <is>
          <t>Meera Iyer</t>
        </is>
      </c>
      <c r="C11" s="3" t="inlineStr">
        <is>
          <t>Python</t>
        </is>
      </c>
      <c r="D11" s="3" t="inlineStr">
        <is>
          <t>Chennai</t>
        </is>
      </c>
      <c r="E11" s="4" t="n">
        <v>15000</v>
      </c>
      <c r="F11" s="3" t="n">
        <v>96</v>
      </c>
      <c r="G11" s="5" t="n">
        <v>98</v>
      </c>
      <c r="H11" s="3" t="inlineStr">
        <is>
          <t>Active</t>
        </is>
      </c>
      <c r="I11" s="3">
        <f>IF(F11&gt;=90,"A+",IF(F11&gt;=80,"A",IF(F11&gt;=70,"B",IF(F11&gt;=60,"C","D"))))</f>
        <v/>
      </c>
    </row>
    <row r="12">
      <c r="A12" s="9" t="n">
        <v>1011</v>
      </c>
      <c r="B12" s="3" t="inlineStr">
        <is>
          <t>Rahul Deshmukh</t>
        </is>
      </c>
      <c r="C12" s="3" t="inlineStr">
        <is>
          <t>Data Science</t>
        </is>
      </c>
      <c r="D12" s="3" t="inlineStr">
        <is>
          <t>Nashik</t>
        </is>
      </c>
      <c r="E12" s="4" t="n">
        <v>18000</v>
      </c>
      <c r="F12" s="3" t="n">
        <v>64</v>
      </c>
      <c r="G12" s="5" t="n">
        <v>74</v>
      </c>
      <c r="H12" s="3" t="inlineStr">
        <is>
          <t>Active</t>
        </is>
      </c>
      <c r="I12" s="3">
        <f>IF(F12&gt;=90,"A+",IF(F12&gt;=80,"A",IF(F12&gt;=70,"B",IF(F12&gt;=60,"C","D"))))</f>
        <v/>
      </c>
    </row>
    <row r="13">
      <c r="A13" s="9" t="n">
        <v>1012</v>
      </c>
      <c r="B13" s="3" t="inlineStr">
        <is>
          <t>Sara Khan</t>
        </is>
      </c>
      <c r="C13" s="3" t="inlineStr">
        <is>
          <t>AI/ML</t>
        </is>
      </c>
      <c r="D13" s="3" t="inlineStr">
        <is>
          <t>Mumbai</t>
        </is>
      </c>
      <c r="E13" s="4" t="n">
        <v>22000</v>
      </c>
      <c r="F13" s="3" t="n">
        <v>87</v>
      </c>
      <c r="G13" s="5" t="n">
        <v>91</v>
      </c>
      <c r="H13" s="3" t="inlineStr">
        <is>
          <t>Active</t>
        </is>
      </c>
      <c r="I13" s="3">
        <f>IF(F13&gt;=90,"A+",IF(F13&gt;=80,"A",IF(F13&gt;=70,"B",IF(F13&gt;=60,"C","D"))))</f>
        <v/>
      </c>
    </row>
    <row r="14">
      <c r="A14" s="9" t="n">
        <v>1013</v>
      </c>
      <c r="B14" s="3" t="inlineStr">
        <is>
          <t>Dev Malhotra</t>
        </is>
      </c>
      <c r="C14" s="3" t="inlineStr">
        <is>
          <t>Python</t>
        </is>
      </c>
      <c r="D14" s="3" t="inlineStr">
        <is>
          <t>Delhi</t>
        </is>
      </c>
      <c r="E14" s="4" t="n">
        <v>15000</v>
      </c>
      <c r="F14" s="3" t="n">
        <v>58</v>
      </c>
      <c r="G14" s="5" t="n">
        <v>68</v>
      </c>
      <c r="H14" s="3" t="inlineStr">
        <is>
          <t>Inactive</t>
        </is>
      </c>
      <c r="I14" s="3">
        <f>IF(F14&gt;=90,"A+",IF(F14&gt;=80,"A",IF(F14&gt;=70,"B",IF(F14&gt;=60,"C","D"))))</f>
        <v/>
      </c>
    </row>
    <row r="15">
      <c r="A15" s="9" t="n">
        <v>1014</v>
      </c>
      <c r="B15" s="3" t="inlineStr">
        <is>
          <t>Nisha Gupta</t>
        </is>
      </c>
      <c r="C15" s="3" t="inlineStr">
        <is>
          <t>Web Development</t>
        </is>
      </c>
      <c r="D15" s="3" t="inlineStr">
        <is>
          <t>Jaipur</t>
        </is>
      </c>
      <c r="E15" s="4" t="n">
        <v>16000</v>
      </c>
      <c r="F15" s="3" t="n">
        <v>79</v>
      </c>
      <c r="G15" s="5" t="n">
        <v>83</v>
      </c>
      <c r="H15" s="3" t="inlineStr">
        <is>
          <t>Active</t>
        </is>
      </c>
      <c r="I15" s="3">
        <f>IF(F15&gt;=90,"A+",IF(F15&gt;=80,"A",IF(F15&gt;=70,"B",IF(F15&gt;=60,"C","D"))))</f>
        <v/>
      </c>
    </row>
    <row r="16">
      <c r="A16" s="9" t="n">
        <v>1015</v>
      </c>
      <c r="B16" s="3" t="inlineStr">
        <is>
          <t>Omkar Jadhav</t>
        </is>
      </c>
      <c r="C16" s="3" t="inlineStr">
        <is>
          <t>Data Science</t>
        </is>
      </c>
      <c r="D16" s="3" t="inlineStr">
        <is>
          <t>Pune</t>
        </is>
      </c>
      <c r="E16" s="4" t="n">
        <v>18000</v>
      </c>
      <c r="F16" s="3" t="n">
        <v>92</v>
      </c>
      <c r="G16" s="5" t="n">
        <v>96</v>
      </c>
      <c r="H16" s="3" t="inlineStr">
        <is>
          <t>Active</t>
        </is>
      </c>
      <c r="I16" s="3">
        <f>IF(F16&gt;=90,"A+",IF(F16&gt;=80,"A",IF(F16&gt;=70,"B",IF(F16&gt;=60,"C","D"))))</f>
        <v/>
      </c>
    </row>
    <row r="17">
      <c r="A17" s="9" t="n">
        <v>1016</v>
      </c>
      <c r="B17" s="3" t="inlineStr">
        <is>
          <t>Tanya Bose</t>
        </is>
      </c>
      <c r="C17" s="3" t="inlineStr">
        <is>
          <t>AI/ML</t>
        </is>
      </c>
      <c r="D17" s="3" t="inlineStr">
        <is>
          <t>Kolkata</t>
        </is>
      </c>
      <c r="E17" s="4" t="n">
        <v>22000</v>
      </c>
      <c r="F17" s="3" t="n">
        <v>73</v>
      </c>
      <c r="G17" s="5" t="n">
        <v>80</v>
      </c>
      <c r="H17" s="3" t="inlineStr">
        <is>
          <t>Active</t>
        </is>
      </c>
      <c r="I17" s="3">
        <f>IF(F17&gt;=90,"A+",IF(F17&gt;=80,"A",IF(F17&gt;=70,"B",IF(F17&gt;=60,"C","D"))))</f>
        <v/>
      </c>
    </row>
    <row r="18">
      <c r="A18" s="9" t="n">
        <v>1017</v>
      </c>
      <c r="B18" s="3" t="inlineStr">
        <is>
          <t>Yash Bhat</t>
        </is>
      </c>
      <c r="C18" s="3" t="inlineStr">
        <is>
          <t>Python</t>
        </is>
      </c>
      <c r="D18" s="3" t="inlineStr">
        <is>
          <t>Bengaluru</t>
        </is>
      </c>
      <c r="E18" s="4" t="n">
        <v>15000</v>
      </c>
      <c r="F18" s="3" t="n">
        <v>84</v>
      </c>
      <c r="G18" s="5" t="n">
        <v>90</v>
      </c>
      <c r="H18" s="3" t="inlineStr">
        <is>
          <t>Active</t>
        </is>
      </c>
      <c r="I18" s="3">
        <f>IF(F18&gt;=90,"A+",IF(F18&gt;=80,"A",IF(F18&gt;=70,"B",IF(F18&gt;=60,"C","D"))))</f>
        <v/>
      </c>
    </row>
    <row r="19">
      <c r="A19" s="9" t="n">
        <v>1018</v>
      </c>
      <c r="B19" s="3" t="inlineStr">
        <is>
          <t>Pooja Mishra</t>
        </is>
      </c>
      <c r="C19" s="3" t="inlineStr">
        <is>
          <t>Web Development</t>
        </is>
      </c>
      <c r="D19" s="3" t="inlineStr">
        <is>
          <t>Lucknow</t>
        </is>
      </c>
      <c r="E19" s="4" t="n">
        <v>16000</v>
      </c>
      <c r="F19" s="3" t="n">
        <v>67</v>
      </c>
      <c r="G19" s="5" t="n">
        <v>75</v>
      </c>
      <c r="H19" s="3" t="inlineStr">
        <is>
          <t>Inactive</t>
        </is>
      </c>
      <c r="I19" s="3">
        <f>IF(F19&gt;=90,"A+",IF(F19&gt;=80,"A",IF(F19&gt;=70,"B",IF(F19&gt;=60,"C","D"))))</f>
        <v/>
      </c>
    </row>
    <row r="20">
      <c r="A20" s="9" t="n">
        <v>1019</v>
      </c>
      <c r="B20" s="3" t="inlineStr">
        <is>
          <t>Karan Shah</t>
        </is>
      </c>
      <c r="C20" s="3" t="inlineStr">
        <is>
          <t>Data Science</t>
        </is>
      </c>
      <c r="D20" s="3" t="inlineStr">
        <is>
          <t>Ahmedabad</t>
        </is>
      </c>
      <c r="E20" s="4" t="n">
        <v>18000</v>
      </c>
      <c r="F20" s="3" t="n">
        <v>90</v>
      </c>
      <c r="G20" s="5" t="n">
        <v>93</v>
      </c>
      <c r="H20" s="3" t="inlineStr">
        <is>
          <t>Active</t>
        </is>
      </c>
      <c r="I20" s="3">
        <f>IF(F20&gt;=90,"A+",IF(F20&gt;=80,"A",IF(F20&gt;=70,"B",IF(F20&gt;=60,"C","D"))))</f>
        <v/>
      </c>
    </row>
    <row r="21">
      <c r="A21" s="9" t="n">
        <v>1020</v>
      </c>
      <c r="B21" s="3" t="inlineStr">
        <is>
          <t>Neha Kapoor</t>
        </is>
      </c>
      <c r="C21" s="3" t="inlineStr">
        <is>
          <t>AI/ML</t>
        </is>
      </c>
      <c r="D21" s="3" t="inlineStr">
        <is>
          <t>Delhi</t>
        </is>
      </c>
      <c r="E21" s="4" t="n">
        <v>22000</v>
      </c>
      <c r="F21" s="3" t="n">
        <v>82</v>
      </c>
      <c r="G21" s="5" t="n">
        <v>88</v>
      </c>
      <c r="H21" s="3" t="inlineStr">
        <is>
          <t>Active</t>
        </is>
      </c>
      <c r="I21" s="3">
        <f>IF(F21&gt;=90,"A+",IF(F21&gt;=80,"A",IF(F21&gt;=70,"B",IF(F21&gt;=60,"C","D"))))</f>
        <v/>
      </c>
    </row>
    <row r="22">
      <c r="E22" t="n">
        <v>354000</v>
      </c>
    </row>
    <row r="23"/>
    <row r="24"/>
  </sheetData>
  <conditionalFormatting sqref="F2:F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3.5"/>
  <cols>
    <col width="14.5" customWidth="1" min="1" max="1"/>
    <col width="12.375" customWidth="1" min="2" max="2"/>
    <col width="11.875" customWidth="1" min="3" max="3"/>
    <col width="15.75" customWidth="1" min="4" max="4"/>
    <col width="8.125" customWidth="1" min="5" max="5"/>
  </cols>
  <sheetData>
    <row r="1" ht="13.9" customHeight="1">
      <c r="A1" s="6" t="inlineStr">
        <is>
          <t>Course</t>
        </is>
      </c>
      <c r="B1" s="6" t="inlineStr">
        <is>
          <t>No. of Students</t>
        </is>
      </c>
      <c r="C1" s="6" t="inlineStr">
        <is>
          <t>Average Marks</t>
        </is>
      </c>
      <c r="D1" s="6" t="inlineStr">
        <is>
          <t>Average Attendance</t>
        </is>
      </c>
      <c r="E1" s="6" t="inlineStr">
        <is>
          <t>Total Fees</t>
        </is>
      </c>
    </row>
    <row r="2">
      <c r="A2" t="inlineStr">
        <is>
          <t>Python</t>
        </is>
      </c>
      <c r="B2">
        <f>COUNTIF(Students!$C$2:$C$21,A2)</f>
        <v/>
      </c>
      <c r="C2" s="7">
        <f>SUMIF(Students!$C$2:$C$21,A2,Students!$F$2:$F$21)/B2</f>
        <v/>
      </c>
      <c r="D2" s="7">
        <f>SUMIF(Students!$C$2:$C$21,A2,Students!$G$2:$G$21)/B2</f>
        <v/>
      </c>
      <c r="E2" s="1">
        <f>SUMIF(Students!$C$2:$C$21,A2,Students!$E$2:$E$21)</f>
        <v/>
      </c>
    </row>
    <row r="3">
      <c r="A3" t="inlineStr">
        <is>
          <t>Data Science</t>
        </is>
      </c>
      <c r="B3">
        <f>COUNTIF(Students!$C$2:$C$21,A3)</f>
        <v/>
      </c>
      <c r="C3" s="7">
        <f>SUMIF(Students!$C$2:$C$21,A3,Students!$F$2:$F$21)/B3</f>
        <v/>
      </c>
      <c r="D3" s="7">
        <f>SUMIF(Students!$C$2:$C$21,A3,Students!$G$2:$G$21)/B3</f>
        <v/>
      </c>
      <c r="E3" s="1">
        <f>SUMIF(Students!$C$2:$C$21,A3,Students!$E$2:$E$21)</f>
        <v/>
      </c>
    </row>
    <row r="4">
      <c r="A4" t="inlineStr">
        <is>
          <t>AI/ML</t>
        </is>
      </c>
      <c r="B4">
        <f>COUNTIF(Students!$C$2:$C$21,A4)</f>
        <v/>
      </c>
      <c r="C4" s="7">
        <f>SUMIF(Students!$C$2:$C$21,A4,Students!$F$2:$F$21)/B4</f>
        <v/>
      </c>
      <c r="D4" s="7">
        <f>SUMIF(Students!$C$2:$C$21,A4,Students!$G$2:$G$21)/B4</f>
        <v/>
      </c>
      <c r="E4" s="1">
        <f>SUMIF(Students!$C$2:$C$21,A4,Students!$E$2:$E$21)</f>
        <v/>
      </c>
    </row>
    <row r="5">
      <c r="A5" t="inlineStr">
        <is>
          <t>Web Development</t>
        </is>
      </c>
      <c r="B5">
        <f>COUNTIF(Students!$C$2:$C$21,A5)</f>
        <v/>
      </c>
      <c r="C5" s="7">
        <f>SUMIF(Students!$C$2:$C$21,A5,Students!$F$2:$F$21)/B5</f>
        <v/>
      </c>
      <c r="D5" s="7">
        <f>SUMIF(Students!$C$2:$C$21,A5,Students!$G$2:$G$21)/B5</f>
        <v/>
      </c>
      <c r="E5" s="1">
        <f>SUMIF(Students!$C$2:$C$21,A5,Students!$E$2:$E$21)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2026-08-28T17:02:08Z</dcterms:created>
  <dcterms:modified xsi:type="dcterms:W3CDTF">2026-08-28T17:14:45Z</dcterms:modified>
  <cp:lastModifiedBy>Sanket D</cp:lastModifiedBy>
</cp:coreProperties>
</file>